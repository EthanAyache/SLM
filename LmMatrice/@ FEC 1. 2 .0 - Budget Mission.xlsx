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U:\Commun\2 EXPERTISES ET CONSEILS\4 GRClients\Lettres de mission\@ Modeles lm\MODELES 2024\"/>
    </mc:Choice>
  </mc:AlternateContent>
  <xr:revisionPtr revIDLastSave="0" documentId="8_{4367125D-EE0F-4AA7-8368-C46297D48AD3}" xr6:coauthVersionLast="36" xr6:coauthVersionMax="36" xr10:uidLastSave="{00000000-0000-0000-0000-000000000000}"/>
  <bookViews>
    <workbookView xWindow="19875" yWindow="525" windowWidth="21600" windowHeight="10995" xr2:uid="{00000000-000D-0000-FFFF-FFFF00000000}"/>
  </bookViews>
  <sheets>
    <sheet name="Budget Temps" sheetId="2" r:id="rId1"/>
  </sheets>
  <calcPr calcId="191029"/>
</workbook>
</file>

<file path=xl/calcChain.xml><?xml version="1.0" encoding="utf-8"?>
<calcChain xmlns="http://schemas.openxmlformats.org/spreadsheetml/2006/main">
  <c r="D75" i="2" l="1"/>
  <c r="D82" i="2" s="1"/>
  <c r="D72" i="2"/>
  <c r="D73" i="2"/>
  <c r="Q72" i="2"/>
  <c r="P72" i="2"/>
  <c r="O72" i="2"/>
  <c r="N72" i="2"/>
  <c r="M72" i="2"/>
  <c r="L72" i="2"/>
  <c r="K72" i="2"/>
  <c r="J72" i="2"/>
  <c r="I72" i="2"/>
  <c r="H72" i="2"/>
  <c r="G72" i="2"/>
  <c r="F72" i="2"/>
  <c r="D48" i="2"/>
  <c r="D80" i="2" s="1"/>
  <c r="D31" i="2"/>
  <c r="D79" i="2" s="1"/>
  <c r="D62" i="2"/>
  <c r="D81" i="2" s="1"/>
  <c r="D45" i="2"/>
  <c r="D59" i="2"/>
  <c r="D60" i="2"/>
  <c r="Q59" i="2"/>
  <c r="P59" i="2"/>
  <c r="O59" i="2"/>
  <c r="N59" i="2"/>
  <c r="M59" i="2"/>
  <c r="L59" i="2"/>
  <c r="K59" i="2"/>
  <c r="J59" i="2"/>
  <c r="I59" i="2"/>
  <c r="H59" i="2"/>
  <c r="G59" i="2"/>
  <c r="F59" i="2"/>
  <c r="D46" i="2"/>
  <c r="Q45" i="2"/>
  <c r="P45" i="2"/>
  <c r="O45" i="2"/>
  <c r="N45" i="2"/>
  <c r="M45" i="2"/>
  <c r="L45" i="2"/>
  <c r="K45" i="2"/>
  <c r="J45" i="2"/>
  <c r="I45" i="2"/>
  <c r="H45" i="2"/>
  <c r="G45" i="2"/>
  <c r="F45" i="2"/>
  <c r="D28" i="2"/>
  <c r="Q28" i="2"/>
  <c r="P28" i="2"/>
  <c r="O28" i="2"/>
  <c r="N28" i="2"/>
  <c r="M28" i="2"/>
  <c r="L28" i="2"/>
  <c r="K28" i="2"/>
  <c r="J28" i="2"/>
  <c r="I28" i="2"/>
  <c r="H28" i="2"/>
  <c r="G28" i="2"/>
  <c r="F28" i="2"/>
  <c r="Q4" i="2"/>
  <c r="Q73" i="2" l="1"/>
  <c r="P75" i="2" s="1"/>
  <c r="Q82" i="2" s="1"/>
  <c r="Q60" i="2"/>
  <c r="P62" i="2" s="1"/>
  <c r="Q81" i="2" s="1"/>
  <c r="Q46" i="2"/>
  <c r="P48" i="2" s="1"/>
  <c r="Q80" i="2" s="1"/>
  <c r="Q29" i="2"/>
  <c r="P31" i="2" s="1"/>
  <c r="Q79" i="2" s="1"/>
  <c r="P83" i="2" l="1"/>
  <c r="P84" i="2" l="1"/>
  <c r="Q84" i="2"/>
</calcChain>
</file>

<file path=xl/sharedStrings.xml><?xml version="1.0" encoding="utf-8"?>
<sst xmlns="http://schemas.openxmlformats.org/spreadsheetml/2006/main" count="131" uniqueCount="48">
  <si>
    <t>CLIENT</t>
  </si>
  <si>
    <t>REFERENCE</t>
  </si>
  <si>
    <t xml:space="preserve"> </t>
  </si>
  <si>
    <t>EXERCICE</t>
  </si>
  <si>
    <t>COLLABORATEUR</t>
  </si>
  <si>
    <t>FOLIO</t>
  </si>
  <si>
    <t>PLANNING</t>
  </si>
  <si>
    <t>DATE</t>
  </si>
  <si>
    <t>-</t>
  </si>
  <si>
    <t>diagnostic général</t>
  </si>
  <si>
    <t>Contrôle comptable</t>
  </si>
  <si>
    <t>Contrôle généraux</t>
  </si>
  <si>
    <t xml:space="preserve">  </t>
  </si>
  <si>
    <t>Situations intermédiaires</t>
  </si>
  <si>
    <t>Autres</t>
  </si>
  <si>
    <t>Organisation supervision</t>
  </si>
  <si>
    <t>Saisie des banques</t>
  </si>
  <si>
    <t>SYNTHESE</t>
  </si>
  <si>
    <t>12 mois</t>
  </si>
  <si>
    <t>Suivi MEG / Recipt Bank</t>
  </si>
  <si>
    <t>Suivi, Tel</t>
  </si>
  <si>
    <t xml:space="preserve">Temps passé par Mois </t>
  </si>
  <si>
    <t>PROPOSITION D'UN BUDGET</t>
  </si>
  <si>
    <t>Saisie des achats</t>
  </si>
  <si>
    <t>En cours d'année</t>
  </si>
  <si>
    <t>En fin d'année</t>
  </si>
  <si>
    <t>Dossier Centre de Gestion Agréé</t>
  </si>
  <si>
    <t>Social - Questions et mise en place</t>
  </si>
  <si>
    <t>Déclaration de taxe sur le chiffre d'affaires</t>
  </si>
  <si>
    <t>Assistance en cas de vérification par l'administration fiscale</t>
  </si>
  <si>
    <t>Mensuel</t>
  </si>
  <si>
    <t>Cumulé</t>
  </si>
  <si>
    <t>Nombre de buletins</t>
  </si>
  <si>
    <t>Autre</t>
  </si>
  <si>
    <t>Etablissement des déclarations sociales</t>
  </si>
  <si>
    <t>Contrôle de l'application du droit social et du droit du travail</t>
  </si>
  <si>
    <t>Prix du bulletin</t>
  </si>
  <si>
    <t>Taux horaire applicable</t>
  </si>
  <si>
    <t>MISSION COMPTABLE</t>
  </si>
  <si>
    <t>MISSION FISCALE</t>
  </si>
  <si>
    <t>MISSION SOCIALE</t>
  </si>
  <si>
    <t>ANNEE 2021</t>
  </si>
  <si>
    <t>MISSION EXCEPTIONNELLE</t>
  </si>
  <si>
    <t>Validation des ventes (saisie par P ROMANO sur RCA)</t>
  </si>
  <si>
    <t>TOTAL DU BUDGET ANNUEL</t>
  </si>
  <si>
    <t>Voir lettre de mission sociale</t>
  </si>
  <si>
    <t xml:space="preserve">Soit un budget mensuel de </t>
  </si>
  <si>
    <t xml:space="preserve">Résultats de fin d'exercice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</si>
</sst>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-40C]_-;\-* #,##0.00\ [$€-40C]_-;_-* &quot;-&quot;??\ [$€-40C]_-;_-@_-"/>
  </numFmts>
  <fonts count="11" x14ac:knownFonts="1">
    <font>
      <sz val="10"/>
      <name val="Arial"/>
    </font>
    <font>
      <sz val="10"/>
      <name val="Arial"/>
    </font>
    <font>
      <sz val="8"/>
      <name val="Arial"/>
    </font>
    <font>
      <sz val="9"/>
      <name val="Helv"/>
    </font>
    <font>
      <b/>
      <sz val="9"/>
      <name val="Helv"/>
    </font>
    <font>
      <i/>
      <sz val="9"/>
      <name val="Helv"/>
    </font>
    <font>
      <b/>
      <sz val="10"/>
      <name val="Arial"/>
      <family val="2"/>
    </font>
    <font>
      <b/>
      <sz val="9"/>
      <name val="Arial Black"/>
      <family val="2"/>
    </font>
    <font>
      <sz val="10"/>
      <name val="Arial"/>
      <family val="2"/>
    </font>
    <font>
      <b/>
      <sz val="9"/>
      <color theme="0"/>
      <name val="Arial Black"/>
      <family val="2"/>
    </font>
    <font>
      <sz val="9"/>
      <color theme="0"/>
      <name val="Arial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0" xfId="0" applyFont="1" applyBorder="1" applyAlignment="1" applyProtection="1">
      <alignment horizontal="center"/>
      <protection hidden="1"/>
    </xf>
    <xf numFmtId="0" fontId="4" fillId="0" borderId="0" xfId="0" applyFont="1" applyBorder="1" applyProtection="1">
      <protection hidden="1"/>
    </xf>
    <xf numFmtId="0" fontId="3" fillId="0" borderId="0" xfId="0" applyFont="1" applyBorder="1" applyAlignment="1" applyProtection="1">
      <alignment horizontal="left"/>
      <protection hidden="1"/>
    </xf>
    <xf numFmtId="0" fontId="3" fillId="0" borderId="5" xfId="0" applyFont="1" applyBorder="1" applyAlignment="1" applyProtection="1">
      <alignment horizontal="left"/>
      <protection locked="0" hidden="1"/>
    </xf>
    <xf numFmtId="0" fontId="3" fillId="0" borderId="5" xfId="0" applyFont="1" applyBorder="1" applyAlignment="1" applyProtection="1">
      <alignment horizontal="left"/>
      <protection hidden="1"/>
    </xf>
    <xf numFmtId="0" fontId="3" fillId="0" borderId="6" xfId="0" applyFont="1" applyBorder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0" borderId="8" xfId="0" applyFont="1" applyBorder="1" applyProtection="1">
      <protection hidden="1"/>
    </xf>
    <xf numFmtId="0" fontId="4" fillId="0" borderId="10" xfId="0" applyFont="1" applyBorder="1" applyProtection="1">
      <protection hidden="1"/>
    </xf>
    <xf numFmtId="0" fontId="3" fillId="0" borderId="0" xfId="0" applyNumberFormat="1" applyFont="1" applyBorder="1" applyAlignment="1" applyProtection="1">
      <alignment horizontal="right"/>
      <protection locked="0" hidden="1"/>
    </xf>
    <xf numFmtId="0" fontId="3" fillId="0" borderId="11" xfId="0" applyFont="1" applyBorder="1" applyProtection="1">
      <protection hidden="1"/>
    </xf>
    <xf numFmtId="0" fontId="3" fillId="0" borderId="12" xfId="0" applyFont="1" applyBorder="1" applyProtection="1">
      <protection hidden="1"/>
    </xf>
    <xf numFmtId="0" fontId="3" fillId="0" borderId="13" xfId="0" applyFont="1" applyBorder="1" applyProtection="1">
      <protection hidden="1"/>
    </xf>
    <xf numFmtId="0" fontId="3" fillId="0" borderId="15" xfId="0" applyFont="1" applyBorder="1" applyProtection="1">
      <protection hidden="1"/>
    </xf>
    <xf numFmtId="0" fontId="3" fillId="0" borderId="18" xfId="0" applyFont="1" applyBorder="1" applyProtection="1">
      <protection hidden="1"/>
    </xf>
    <xf numFmtId="0" fontId="3" fillId="0" borderId="6" xfId="0" applyFont="1" applyBorder="1" applyProtection="1">
      <protection hidden="1"/>
    </xf>
    <xf numFmtId="0" fontId="0" fillId="2" borderId="0" xfId="0" applyFill="1"/>
    <xf numFmtId="0" fontId="6" fillId="0" borderId="0" xfId="0" applyFont="1"/>
    <xf numFmtId="0" fontId="4" fillId="3" borderId="6" xfId="0" applyFont="1" applyFill="1" applyBorder="1" applyProtection="1">
      <protection hidden="1"/>
    </xf>
    <xf numFmtId="0" fontId="4" fillId="3" borderId="6" xfId="0" applyFont="1" applyFill="1" applyBorder="1" applyAlignment="1" applyProtection="1">
      <alignment horizontal="left"/>
      <protection hidden="1"/>
    </xf>
    <xf numFmtId="0" fontId="4" fillId="3" borderId="6" xfId="0" applyFont="1" applyFill="1" applyBorder="1" applyAlignment="1" applyProtection="1">
      <alignment horizontal="left"/>
      <protection hidden="1"/>
    </xf>
    <xf numFmtId="0" fontId="3" fillId="4" borderId="9" xfId="0" applyFont="1" applyFill="1" applyBorder="1" applyAlignment="1" applyProtection="1">
      <alignment horizontal="center"/>
      <protection hidden="1"/>
    </xf>
    <xf numFmtId="0" fontId="3" fillId="4" borderId="6" xfId="0" applyFont="1" applyFill="1" applyBorder="1" applyAlignment="1" applyProtection="1">
      <alignment horizontal="center"/>
      <protection hidden="1"/>
    </xf>
    <xf numFmtId="43" fontId="3" fillId="0" borderId="7" xfId="2" applyFont="1" applyBorder="1" applyAlignment="1" applyProtection="1">
      <alignment horizontal="center"/>
      <protection hidden="1"/>
    </xf>
    <xf numFmtId="0" fontId="3" fillId="4" borderId="6" xfId="0" applyFont="1" applyFill="1" applyBorder="1" applyAlignment="1" applyProtection="1">
      <alignment horizontal="left"/>
      <protection hidden="1"/>
    </xf>
    <xf numFmtId="0" fontId="3" fillId="4" borderId="6" xfId="0" applyFont="1" applyFill="1" applyBorder="1" applyProtection="1">
      <protection hidden="1"/>
    </xf>
    <xf numFmtId="43" fontId="3" fillId="0" borderId="4" xfId="2" applyFont="1" applyBorder="1" applyAlignment="1" applyProtection="1">
      <alignment horizontal="right"/>
      <protection locked="0" hidden="1"/>
    </xf>
    <xf numFmtId="43" fontId="3" fillId="0" borderId="5" xfId="2" applyFont="1" applyBorder="1" applyAlignment="1" applyProtection="1">
      <alignment horizontal="right"/>
      <protection locked="0" hidden="1"/>
    </xf>
    <xf numFmtId="43" fontId="3" fillId="0" borderId="3" xfId="2" applyFont="1" applyBorder="1" applyProtection="1">
      <protection hidden="1"/>
    </xf>
    <xf numFmtId="43" fontId="3" fillId="0" borderId="0" xfId="2" applyFont="1" applyBorder="1" applyProtection="1">
      <protection hidden="1"/>
    </xf>
    <xf numFmtId="43" fontId="3" fillId="1" borderId="9" xfId="2" applyFont="1" applyFill="1" applyBorder="1" applyProtection="1">
      <protection hidden="1"/>
    </xf>
    <xf numFmtId="43" fontId="3" fillId="1" borderId="6" xfId="2" applyFont="1" applyFill="1" applyBorder="1" applyProtection="1">
      <protection hidden="1"/>
    </xf>
    <xf numFmtId="0" fontId="3" fillId="0" borderId="17" xfId="0" applyFont="1" applyBorder="1" applyProtection="1">
      <protection hidden="1"/>
    </xf>
    <xf numFmtId="0" fontId="3" fillId="0" borderId="15" xfId="0" applyNumberFormat="1" applyFont="1" applyBorder="1" applyAlignment="1" applyProtection="1">
      <alignment horizontal="right"/>
      <protection locked="0" hidden="1"/>
    </xf>
    <xf numFmtId="0" fontId="3" fillId="4" borderId="25" xfId="0" applyFont="1" applyFill="1" applyBorder="1" applyAlignment="1" applyProtection="1">
      <alignment horizontal="center"/>
      <protection hidden="1"/>
    </xf>
    <xf numFmtId="43" fontId="3" fillId="0" borderId="14" xfId="2" applyFont="1" applyBorder="1" applyAlignment="1" applyProtection="1">
      <alignment horizontal="right"/>
      <protection locked="0" hidden="1"/>
    </xf>
    <xf numFmtId="43" fontId="3" fillId="0" borderId="26" xfId="2" applyFont="1" applyBorder="1" applyAlignment="1" applyProtection="1">
      <alignment horizontal="right"/>
      <protection locked="0" hidden="1"/>
    </xf>
    <xf numFmtId="43" fontId="3" fillId="0" borderId="15" xfId="2" applyFont="1" applyBorder="1" applyProtection="1">
      <protection hidden="1"/>
    </xf>
    <xf numFmtId="43" fontId="3" fillId="0" borderId="16" xfId="2" applyFont="1" applyBorder="1" applyAlignment="1" applyProtection="1">
      <alignment horizontal="center"/>
      <protection hidden="1"/>
    </xf>
    <xf numFmtId="0" fontId="3" fillId="0" borderId="27" xfId="0" applyFont="1" applyBorder="1" applyProtection="1">
      <protection hidden="1"/>
    </xf>
    <xf numFmtId="43" fontId="3" fillId="0" borderId="25" xfId="2" applyFont="1" applyBorder="1" applyAlignment="1" applyProtection="1">
      <alignment horizontal="center"/>
      <protection hidden="1"/>
    </xf>
    <xf numFmtId="0" fontId="3" fillId="4" borderId="24" xfId="0" applyFont="1" applyFill="1" applyBorder="1" applyProtection="1">
      <protection hidden="1"/>
    </xf>
    <xf numFmtId="0" fontId="4" fillId="3" borderId="24" xfId="0" applyFont="1" applyFill="1" applyBorder="1" applyProtection="1">
      <protection hidden="1"/>
    </xf>
    <xf numFmtId="0" fontId="4" fillId="2" borderId="8" xfId="0" applyFont="1" applyFill="1" applyBorder="1" applyProtection="1">
      <protection locked="0" hidden="1"/>
    </xf>
    <xf numFmtId="14" fontId="4" fillId="0" borderId="29" xfId="0" applyNumberFormat="1" applyFont="1" applyBorder="1" applyProtection="1">
      <protection hidden="1"/>
    </xf>
    <xf numFmtId="0" fontId="5" fillId="0" borderId="13" xfId="0" applyFont="1" applyBorder="1" applyProtection="1">
      <protection hidden="1"/>
    </xf>
    <xf numFmtId="0" fontId="3" fillId="0" borderId="29" xfId="0" applyFont="1" applyBorder="1" applyProtection="1">
      <protection hidden="1"/>
    </xf>
    <xf numFmtId="0" fontId="3" fillId="0" borderId="13" xfId="0" applyNumberFormat="1" applyFont="1" applyBorder="1" applyAlignment="1" applyProtection="1">
      <alignment horizontal="left"/>
      <protection locked="0" hidden="1"/>
    </xf>
    <xf numFmtId="0" fontId="4" fillId="2" borderId="13" xfId="0" applyFont="1" applyFill="1" applyBorder="1" applyProtection="1">
      <protection locked="0" hidden="1"/>
    </xf>
    <xf numFmtId="0" fontId="3" fillId="0" borderId="34" xfId="0" applyFont="1" applyBorder="1" applyProtection="1">
      <protection hidden="1"/>
    </xf>
    <xf numFmtId="0" fontId="3" fillId="7" borderId="6" xfId="0" applyFont="1" applyFill="1" applyBorder="1" applyProtection="1">
      <protection hidden="1"/>
    </xf>
    <xf numFmtId="0" fontId="3" fillId="7" borderId="30" xfId="0" applyFont="1" applyFill="1" applyBorder="1" applyProtection="1">
      <protection hidden="1"/>
    </xf>
    <xf numFmtId="0" fontId="3" fillId="7" borderId="19" xfId="0" applyFont="1" applyFill="1" applyBorder="1" applyProtection="1">
      <protection hidden="1"/>
    </xf>
    <xf numFmtId="0" fontId="3" fillId="7" borderId="28" xfId="0" applyFont="1" applyFill="1" applyBorder="1" applyProtection="1">
      <protection hidden="1"/>
    </xf>
    <xf numFmtId="16" fontId="3" fillId="7" borderId="25" xfId="0" applyNumberFormat="1" applyFont="1" applyFill="1" applyBorder="1" applyAlignment="1" applyProtection="1">
      <alignment horizontal="right"/>
      <protection hidden="1"/>
    </xf>
    <xf numFmtId="0" fontId="4" fillId="0" borderId="37" xfId="0" applyFont="1" applyBorder="1" applyProtection="1">
      <protection hidden="1"/>
    </xf>
    <xf numFmtId="0" fontId="4" fillId="0" borderId="37" xfId="0" applyFont="1" applyBorder="1" applyAlignment="1" applyProtection="1">
      <alignment horizontal="left"/>
      <protection hidden="1"/>
    </xf>
    <xf numFmtId="0" fontId="3" fillId="0" borderId="37" xfId="0" applyFont="1" applyBorder="1" applyProtection="1">
      <protection hidden="1"/>
    </xf>
    <xf numFmtId="164" fontId="4" fillId="0" borderId="37" xfId="0" applyNumberFormat="1" applyFont="1" applyBorder="1" applyAlignment="1" applyProtection="1">
      <alignment horizontal="center"/>
      <protection hidden="1"/>
    </xf>
    <xf numFmtId="164" fontId="4" fillId="0" borderId="38" xfId="0" applyNumberFormat="1" applyFont="1" applyBorder="1" applyAlignment="1" applyProtection="1">
      <alignment horizontal="center"/>
      <protection hidden="1"/>
    </xf>
    <xf numFmtId="0" fontId="3" fillId="0" borderId="39" xfId="0" applyFont="1" applyBorder="1" applyProtection="1">
      <protection hidden="1"/>
    </xf>
    <xf numFmtId="0" fontId="4" fillId="0" borderId="40" xfId="0" applyFont="1" applyBorder="1" applyProtection="1">
      <protection hidden="1"/>
    </xf>
    <xf numFmtId="0" fontId="4" fillId="0" borderId="40" xfId="0" applyFont="1" applyBorder="1" applyAlignment="1" applyProtection="1">
      <alignment horizontal="left"/>
      <protection hidden="1"/>
    </xf>
    <xf numFmtId="0" fontId="3" fillId="0" borderId="40" xfId="0" applyFont="1" applyBorder="1" applyProtection="1">
      <protection hidden="1"/>
    </xf>
    <xf numFmtId="164" fontId="4" fillId="0" borderId="40" xfId="0" applyNumberFormat="1" applyFont="1" applyBorder="1" applyAlignment="1" applyProtection="1">
      <alignment horizontal="center"/>
      <protection hidden="1"/>
    </xf>
    <xf numFmtId="164" fontId="4" fillId="0" borderId="41" xfId="0" applyNumberFormat="1" applyFont="1" applyBorder="1" applyAlignment="1" applyProtection="1">
      <alignment horizontal="center"/>
      <protection hidden="1"/>
    </xf>
    <xf numFmtId="0" fontId="3" fillId="0" borderId="42" xfId="0" applyFont="1" applyBorder="1" applyProtection="1">
      <protection hidden="1"/>
    </xf>
    <xf numFmtId="0" fontId="4" fillId="0" borderId="43" xfId="0" applyFont="1" applyBorder="1" applyProtection="1">
      <protection hidden="1"/>
    </xf>
    <xf numFmtId="0" fontId="4" fillId="0" borderId="43" xfId="0" applyFont="1" applyBorder="1" applyAlignment="1" applyProtection="1">
      <alignment horizontal="left"/>
      <protection hidden="1"/>
    </xf>
    <xf numFmtId="0" fontId="3" fillId="0" borderId="43" xfId="0" applyFont="1" applyBorder="1" applyProtection="1">
      <protection hidden="1"/>
    </xf>
    <xf numFmtId="164" fontId="4" fillId="0" borderId="43" xfId="0" applyNumberFormat="1" applyFont="1" applyBorder="1" applyAlignment="1" applyProtection="1">
      <alignment horizontal="center"/>
      <protection hidden="1"/>
    </xf>
    <xf numFmtId="164" fontId="4" fillId="0" borderId="44" xfId="0" applyNumberFormat="1" applyFont="1" applyBorder="1" applyAlignment="1" applyProtection="1">
      <alignment horizontal="center"/>
      <protection hidden="1"/>
    </xf>
    <xf numFmtId="0" fontId="4" fillId="3" borderId="6" xfId="0" applyFont="1" applyFill="1" applyBorder="1" applyAlignment="1" applyProtection="1">
      <alignment horizontal="left"/>
      <protection hidden="1"/>
    </xf>
    <xf numFmtId="0" fontId="3" fillId="4" borderId="45" xfId="0" applyFont="1" applyFill="1" applyBorder="1" applyProtection="1">
      <protection hidden="1"/>
    </xf>
    <xf numFmtId="0" fontId="3" fillId="4" borderId="46" xfId="0" applyFont="1" applyFill="1" applyBorder="1" applyProtection="1">
      <protection hidden="1"/>
    </xf>
    <xf numFmtId="0" fontId="3" fillId="4" borderId="46" xfId="0" applyFont="1" applyFill="1" applyBorder="1" applyAlignment="1" applyProtection="1">
      <alignment horizontal="left"/>
      <protection hidden="1"/>
    </xf>
    <xf numFmtId="43" fontId="3" fillId="0" borderId="49" xfId="2" applyFont="1" applyBorder="1" applyAlignment="1" applyProtection="1">
      <alignment horizontal="right"/>
      <protection locked="0" hidden="1"/>
    </xf>
    <xf numFmtId="164" fontId="4" fillId="3" borderId="6" xfId="0" applyNumberFormat="1" applyFont="1" applyFill="1" applyBorder="1" applyAlignment="1" applyProtection="1">
      <alignment horizontal="center"/>
      <protection hidden="1"/>
    </xf>
    <xf numFmtId="164" fontId="4" fillId="3" borderId="25" xfId="0" applyNumberFormat="1" applyFont="1" applyFill="1" applyBorder="1" applyAlignment="1" applyProtection="1">
      <alignment horizontal="center"/>
      <protection hidden="1"/>
    </xf>
    <xf numFmtId="164" fontId="3" fillId="4" borderId="46" xfId="0" applyNumberFormat="1" applyFont="1" applyFill="1" applyBorder="1" applyAlignment="1" applyProtection="1">
      <alignment horizontal="center"/>
      <protection hidden="1"/>
    </xf>
    <xf numFmtId="164" fontId="3" fillId="4" borderId="47" xfId="0" applyNumberFormat="1" applyFont="1" applyFill="1" applyBorder="1" applyAlignment="1" applyProtection="1">
      <alignment horizontal="center"/>
      <protection hidden="1"/>
    </xf>
    <xf numFmtId="43" fontId="4" fillId="7" borderId="48" xfId="2" applyFont="1" applyFill="1" applyBorder="1" applyAlignment="1" applyProtection="1">
      <alignment horizontal="center" vertical="center"/>
      <protection locked="0" hidden="1"/>
    </xf>
    <xf numFmtId="43" fontId="4" fillId="7" borderId="40" xfId="2" applyFont="1" applyFill="1" applyBorder="1" applyAlignment="1" applyProtection="1">
      <alignment horizontal="center" vertical="center"/>
      <protection locked="0" hidden="1"/>
    </xf>
    <xf numFmtId="43" fontId="4" fillId="7" borderId="41" xfId="2" applyFont="1" applyFill="1" applyBorder="1" applyAlignment="1" applyProtection="1">
      <alignment horizontal="center" vertical="center"/>
      <protection locked="0" hidden="1"/>
    </xf>
    <xf numFmtId="0" fontId="9" fillId="6" borderId="21" xfId="0" applyFont="1" applyFill="1" applyBorder="1" applyAlignment="1" applyProtection="1">
      <alignment horizontal="center"/>
      <protection hidden="1"/>
    </xf>
    <xf numFmtId="0" fontId="9" fillId="6" borderId="22" xfId="0" applyFont="1" applyFill="1" applyBorder="1" applyAlignment="1" applyProtection="1">
      <alignment horizontal="center"/>
      <protection hidden="1"/>
    </xf>
    <xf numFmtId="0" fontId="9" fillId="6" borderId="23" xfId="0" applyFont="1" applyFill="1" applyBorder="1" applyAlignment="1" applyProtection="1">
      <alignment horizontal="center"/>
      <protection hidden="1"/>
    </xf>
    <xf numFmtId="0" fontId="4" fillId="3" borderId="24" xfId="0" applyFont="1" applyFill="1" applyBorder="1" applyAlignment="1" applyProtection="1">
      <alignment horizontal="center"/>
      <protection hidden="1"/>
    </xf>
    <xf numFmtId="0" fontId="4" fillId="3" borderId="6" xfId="0" applyFont="1" applyFill="1" applyBorder="1" applyAlignment="1" applyProtection="1">
      <alignment horizontal="center"/>
      <protection hidden="1"/>
    </xf>
    <xf numFmtId="0" fontId="4" fillId="3" borderId="6" xfId="0" applyFont="1" applyFill="1" applyBorder="1" applyAlignment="1" applyProtection="1">
      <alignment horizontal="left"/>
      <protection hidden="1"/>
    </xf>
    <xf numFmtId="0" fontId="4" fillId="3" borderId="25" xfId="0" applyFont="1" applyFill="1" applyBorder="1" applyAlignment="1" applyProtection="1">
      <alignment horizontal="left"/>
      <protection hidden="1"/>
    </xf>
    <xf numFmtId="0" fontId="4" fillId="4" borderId="24" xfId="0" applyFont="1" applyFill="1" applyBorder="1" applyAlignment="1" applyProtection="1">
      <alignment horizontal="center"/>
      <protection hidden="1"/>
    </xf>
    <xf numFmtId="0" fontId="4" fillId="4" borderId="6" xfId="0" applyFont="1" applyFill="1" applyBorder="1" applyAlignment="1" applyProtection="1">
      <alignment horizontal="center"/>
      <protection hidden="1"/>
    </xf>
    <xf numFmtId="0" fontId="4" fillId="4" borderId="20" xfId="0" applyFont="1" applyFill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left" vertical="center" wrapText="1"/>
      <protection hidden="1"/>
    </xf>
    <xf numFmtId="0" fontId="3" fillId="0" borderId="8" xfId="0" applyFont="1" applyBorder="1" applyAlignment="1" applyProtection="1">
      <alignment horizontal="left" vertical="center" wrapText="1"/>
      <protection hidden="1"/>
    </xf>
    <xf numFmtId="164" fontId="3" fillId="4" borderId="6" xfId="0" applyNumberFormat="1" applyFont="1" applyFill="1" applyBorder="1" applyAlignment="1" applyProtection="1">
      <alignment horizontal="center"/>
      <protection hidden="1"/>
    </xf>
    <xf numFmtId="164" fontId="3" fillId="4" borderId="25" xfId="0" applyNumberFormat="1" applyFont="1" applyFill="1" applyBorder="1" applyAlignment="1" applyProtection="1">
      <alignment horizontal="center"/>
      <protection hidden="1"/>
    </xf>
    <xf numFmtId="14" fontId="3" fillId="0" borderId="13" xfId="0" applyNumberFormat="1" applyFont="1" applyBorder="1" applyAlignment="1" applyProtection="1">
      <alignment horizontal="center"/>
      <protection hidden="1"/>
    </xf>
    <xf numFmtId="0" fontId="7" fillId="5" borderId="21" xfId="0" applyNumberFormat="1" applyFont="1" applyFill="1" applyBorder="1" applyAlignment="1" applyProtection="1">
      <alignment horizontal="center"/>
      <protection locked="0" hidden="1"/>
    </xf>
    <xf numFmtId="0" fontId="7" fillId="5" borderId="22" xfId="0" applyNumberFormat="1" applyFont="1" applyFill="1" applyBorder="1" applyAlignment="1" applyProtection="1">
      <alignment horizontal="center"/>
      <protection locked="0" hidden="1"/>
    </xf>
    <xf numFmtId="0" fontId="7" fillId="5" borderId="23" xfId="0" applyNumberFormat="1" applyFont="1" applyFill="1" applyBorder="1" applyAlignment="1" applyProtection="1">
      <alignment horizontal="center"/>
      <protection locked="0" hidden="1"/>
    </xf>
    <xf numFmtId="0" fontId="3" fillId="0" borderId="1" xfId="0" applyFont="1" applyBorder="1" applyAlignment="1" applyProtection="1">
      <alignment horizontal="left" vertical="center"/>
      <protection hidden="1"/>
    </xf>
    <xf numFmtId="0" fontId="3" fillId="0" borderId="8" xfId="0" applyFont="1" applyBorder="1" applyAlignment="1" applyProtection="1">
      <alignment horizontal="left" vertical="center"/>
      <protection hidden="1"/>
    </xf>
    <xf numFmtId="0" fontId="10" fillId="6" borderId="30" xfId="0" applyFont="1" applyFill="1" applyBorder="1" applyAlignment="1" applyProtection="1">
      <alignment horizontal="center" vertical="center"/>
      <protection hidden="1"/>
    </xf>
    <xf numFmtId="0" fontId="10" fillId="6" borderId="19" xfId="0" applyFont="1" applyFill="1" applyBorder="1" applyAlignment="1" applyProtection="1">
      <alignment horizontal="center" vertical="center"/>
      <protection hidden="1"/>
    </xf>
    <xf numFmtId="0" fontId="10" fillId="6" borderId="31" xfId="0" applyFont="1" applyFill="1" applyBorder="1" applyAlignment="1" applyProtection="1">
      <alignment horizontal="center" vertical="center"/>
      <protection hidden="1"/>
    </xf>
    <xf numFmtId="0" fontId="10" fillId="6" borderId="32" xfId="0" applyFont="1" applyFill="1" applyBorder="1" applyAlignment="1" applyProtection="1">
      <alignment horizontal="center" vertical="center"/>
      <protection hidden="1"/>
    </xf>
    <xf numFmtId="0" fontId="10" fillId="6" borderId="8" xfId="0" applyFont="1" applyFill="1" applyBorder="1" applyAlignment="1" applyProtection="1">
      <alignment horizontal="center" vertical="center"/>
      <protection hidden="1"/>
    </xf>
    <xf numFmtId="0" fontId="10" fillId="6" borderId="33" xfId="0" applyFont="1" applyFill="1" applyBorder="1" applyAlignment="1" applyProtection="1">
      <alignment horizontal="center" vertical="center"/>
      <protection hidden="1"/>
    </xf>
    <xf numFmtId="0" fontId="8" fillId="7" borderId="35" xfId="0" applyFont="1" applyFill="1" applyBorder="1" applyAlignment="1" applyProtection="1">
      <alignment horizontal="left"/>
    </xf>
    <xf numFmtId="0" fontId="0" fillId="7" borderId="6" xfId="0" applyFill="1" applyBorder="1" applyAlignment="1" applyProtection="1">
      <alignment horizontal="left"/>
    </xf>
    <xf numFmtId="0" fontId="0" fillId="7" borderId="20" xfId="0" applyFill="1" applyBorder="1" applyAlignment="1" applyProtection="1">
      <alignment horizontal="left"/>
    </xf>
    <xf numFmtId="0" fontId="4" fillId="4" borderId="36" xfId="0" applyFont="1" applyFill="1" applyBorder="1" applyAlignment="1" applyProtection="1">
      <alignment horizontal="left"/>
      <protection hidden="1"/>
    </xf>
    <xf numFmtId="0" fontId="4" fillId="4" borderId="19" xfId="0" applyFont="1" applyFill="1" applyBorder="1" applyAlignment="1" applyProtection="1">
      <alignment horizontal="left"/>
      <protection hidden="1"/>
    </xf>
    <xf numFmtId="0" fontId="4" fillId="4" borderId="31" xfId="0" applyFont="1" applyFill="1" applyBorder="1" applyAlignment="1" applyProtection="1">
      <alignment horizontal="left"/>
      <protection hidden="1"/>
    </xf>
    <xf numFmtId="0" fontId="3" fillId="7" borderId="24" xfId="0" applyFont="1" applyFill="1" applyBorder="1" applyAlignment="1" applyProtection="1">
      <alignment horizontal="left"/>
      <protection hidden="1"/>
    </xf>
    <xf numFmtId="0" fontId="3" fillId="7" borderId="6" xfId="0" applyFont="1" applyFill="1" applyBorder="1" applyAlignment="1" applyProtection="1">
      <alignment horizontal="left"/>
      <protection hidden="1"/>
    </xf>
    <xf numFmtId="0" fontId="3" fillId="7" borderId="20" xfId="0" applyFont="1" applyFill="1" applyBorder="1" applyAlignment="1" applyProtection="1">
      <alignment horizontal="left"/>
      <protection hidden="1"/>
    </xf>
    <xf numFmtId="0" fontId="3" fillId="7" borderId="35" xfId="0" applyFont="1" applyFill="1" applyBorder="1" applyAlignment="1" applyProtection="1">
      <alignment horizontal="left"/>
      <protection hidden="1"/>
    </xf>
  </cellXfs>
  <cellStyles count="3">
    <cellStyle name="Euro" xfId="1" xr:uid="{00000000-0005-0000-0000-000000000000}"/>
    <cellStyle name="Millier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4"/>
  <sheetViews>
    <sheetView showGridLines="0" tabSelected="1" topLeftCell="A7" zoomScaleNormal="100" workbookViewId="0">
      <selection activeCell="P48" sqref="P48:Q48"/>
    </sheetView>
  </sheetViews>
  <sheetFormatPr baseColWidth="10" defaultRowHeight="12.75" x14ac:dyDescent="0.2"/>
  <cols>
    <col min="1" max="1" width="4.140625" customWidth="1"/>
    <col min="2" max="2" width="2" customWidth="1"/>
    <col min="3" max="3" width="1.85546875" customWidth="1"/>
    <col min="4" max="4" width="34" customWidth="1"/>
    <col min="6" max="8" width="7" customWidth="1"/>
    <col min="9" max="9" width="8" customWidth="1"/>
    <col min="10" max="16" width="7" customWidth="1"/>
    <col min="17" max="17" width="11.28515625" bestFit="1" customWidth="1"/>
  </cols>
  <sheetData>
    <row r="1" spans="2:17" ht="13.5" thickBo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 x14ac:dyDescent="0.2">
      <c r="B2" s="117" t="s">
        <v>0</v>
      </c>
      <c r="C2" s="118"/>
      <c r="D2" s="118"/>
      <c r="E2" s="119"/>
      <c r="F2" s="108" t="s">
        <v>22</v>
      </c>
      <c r="G2" s="109"/>
      <c r="H2" s="109"/>
      <c r="I2" s="109"/>
      <c r="J2" s="109"/>
      <c r="K2" s="109"/>
      <c r="L2" s="109"/>
      <c r="M2" s="110"/>
      <c r="N2" s="55" t="s">
        <v>1</v>
      </c>
      <c r="O2" s="56"/>
      <c r="P2" s="56"/>
      <c r="Q2" s="57"/>
    </row>
    <row r="3" spans="2:17" x14ac:dyDescent="0.2">
      <c r="B3" s="14"/>
      <c r="C3" s="5"/>
      <c r="D3" s="47"/>
      <c r="E3" s="12"/>
      <c r="F3" s="111"/>
      <c r="G3" s="112"/>
      <c r="H3" s="112"/>
      <c r="I3" s="112"/>
      <c r="J3" s="112"/>
      <c r="K3" s="112"/>
      <c r="L3" s="112"/>
      <c r="M3" s="113"/>
      <c r="N3" s="3"/>
      <c r="O3" s="4"/>
      <c r="P3" s="1"/>
      <c r="Q3" s="17"/>
    </row>
    <row r="4" spans="2:17" x14ac:dyDescent="0.2">
      <c r="B4" s="120" t="s">
        <v>3</v>
      </c>
      <c r="C4" s="121"/>
      <c r="D4" s="121"/>
      <c r="E4" s="122"/>
      <c r="F4" s="114" t="s">
        <v>6</v>
      </c>
      <c r="G4" s="115"/>
      <c r="H4" s="115"/>
      <c r="I4" s="116"/>
      <c r="J4" s="123" t="s">
        <v>4</v>
      </c>
      <c r="K4" s="121"/>
      <c r="L4" s="121"/>
      <c r="M4" s="122"/>
      <c r="N4" s="54" t="s">
        <v>5</v>
      </c>
      <c r="O4" s="54"/>
      <c r="P4" s="54"/>
      <c r="Q4" s="58" t="str">
        <f>"1/1"</f>
        <v>1/1</v>
      </c>
    </row>
    <row r="5" spans="2:17" ht="13.5" thickBot="1" x14ac:dyDescent="0.25">
      <c r="B5" s="15"/>
      <c r="C5" s="16"/>
      <c r="D5" s="52" t="s">
        <v>18</v>
      </c>
      <c r="E5" s="48"/>
      <c r="F5" s="16"/>
      <c r="G5" s="49"/>
      <c r="H5" s="16"/>
      <c r="I5" s="50"/>
      <c r="J5" s="16"/>
      <c r="K5" s="51"/>
      <c r="L5" s="16"/>
      <c r="M5" s="50"/>
      <c r="N5" s="16" t="s">
        <v>7</v>
      </c>
      <c r="O5" s="102"/>
      <c r="P5" s="102"/>
      <c r="Q5" s="53"/>
    </row>
    <row r="6" spans="2:17" ht="13.5" thickBot="1" x14ac:dyDescent="0.25">
      <c r="B6" s="14"/>
      <c r="C6" s="1"/>
      <c r="D6" s="6"/>
      <c r="E6" s="6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37"/>
    </row>
    <row r="7" spans="2:17" ht="15" thickBot="1" x14ac:dyDescent="0.35">
      <c r="B7" s="103" t="s">
        <v>41</v>
      </c>
      <c r="C7" s="104"/>
      <c r="D7" s="104"/>
      <c r="E7" s="104"/>
      <c r="F7" s="104">
        <v>2022</v>
      </c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5"/>
    </row>
    <row r="8" spans="2:17" x14ac:dyDescent="0.2">
      <c r="B8" s="14"/>
      <c r="C8" s="1"/>
      <c r="D8" s="6"/>
      <c r="E8" s="6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37"/>
    </row>
    <row r="9" spans="2:17" x14ac:dyDescent="0.2">
      <c r="B9" s="91"/>
      <c r="C9" s="92"/>
      <c r="D9" s="93" t="s">
        <v>38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2:17" x14ac:dyDescent="0.2">
      <c r="B10" s="14"/>
      <c r="C10" s="1"/>
      <c r="D10" s="6"/>
      <c r="E10" s="6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37"/>
    </row>
    <row r="11" spans="2:17" x14ac:dyDescent="0.2">
      <c r="B11" s="95" t="s">
        <v>21</v>
      </c>
      <c r="C11" s="96"/>
      <c r="D11" s="96"/>
      <c r="E11" s="97"/>
      <c r="F11" s="25">
        <v>1</v>
      </c>
      <c r="G11" s="26">
        <v>2</v>
      </c>
      <c r="H11" s="25">
        <v>3</v>
      </c>
      <c r="I11" s="26">
        <v>4</v>
      </c>
      <c r="J11" s="25">
        <v>5</v>
      </c>
      <c r="K11" s="26">
        <v>6</v>
      </c>
      <c r="L11" s="25">
        <v>7</v>
      </c>
      <c r="M11" s="26">
        <v>8</v>
      </c>
      <c r="N11" s="25">
        <v>9</v>
      </c>
      <c r="O11" s="26">
        <v>10</v>
      </c>
      <c r="P11" s="25">
        <v>11</v>
      </c>
      <c r="Q11" s="38">
        <v>12</v>
      </c>
    </row>
    <row r="12" spans="2:17" x14ac:dyDescent="0.2">
      <c r="B12" s="14"/>
      <c r="C12" s="1"/>
      <c r="D12" s="6"/>
      <c r="E12" s="6"/>
      <c r="F12" s="30"/>
      <c r="G12" s="31"/>
      <c r="H12" s="30"/>
      <c r="I12" s="31"/>
      <c r="J12" s="30"/>
      <c r="K12" s="31"/>
      <c r="L12" s="30"/>
      <c r="M12" s="31"/>
      <c r="N12" s="30"/>
      <c r="O12" s="31"/>
      <c r="P12" s="30"/>
      <c r="Q12" s="39"/>
    </row>
    <row r="13" spans="2:17" x14ac:dyDescent="0.2">
      <c r="B13" s="14"/>
      <c r="C13" s="1" t="s">
        <v>8</v>
      </c>
      <c r="D13" s="6" t="s">
        <v>23</v>
      </c>
      <c r="E13" s="6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80"/>
    </row>
    <row r="14" spans="2:17" x14ac:dyDescent="0.2">
      <c r="B14" s="14"/>
      <c r="C14" s="1" t="s">
        <v>8</v>
      </c>
      <c r="D14" s="6" t="s">
        <v>16</v>
      </c>
      <c r="E14" s="6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40"/>
    </row>
    <row r="15" spans="2:17" x14ac:dyDescent="0.2">
      <c r="B15" s="14"/>
      <c r="C15" s="1" t="s">
        <v>8</v>
      </c>
      <c r="D15" s="6" t="s">
        <v>43</v>
      </c>
      <c r="E15" s="6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40"/>
    </row>
    <row r="16" spans="2:17" x14ac:dyDescent="0.2">
      <c r="B16" s="14"/>
      <c r="C16" s="1" t="s">
        <v>8</v>
      </c>
      <c r="D16" s="6" t="s">
        <v>20</v>
      </c>
      <c r="E16" s="6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40"/>
    </row>
    <row r="17" spans="1:17" hidden="1" x14ac:dyDescent="0.2">
      <c r="B17" s="14"/>
      <c r="C17" s="1" t="s">
        <v>8</v>
      </c>
      <c r="D17" s="6" t="s">
        <v>9</v>
      </c>
      <c r="E17" s="6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40"/>
    </row>
    <row r="18" spans="1:17" x14ac:dyDescent="0.2">
      <c r="B18" s="14"/>
      <c r="C18" s="1" t="s">
        <v>8</v>
      </c>
      <c r="D18" s="6" t="s">
        <v>10</v>
      </c>
      <c r="E18" s="6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40"/>
    </row>
    <row r="19" spans="1:17" x14ac:dyDescent="0.2">
      <c r="B19" s="14"/>
      <c r="C19" s="1"/>
      <c r="D19" s="6" t="s">
        <v>24</v>
      </c>
      <c r="E19" s="6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40"/>
    </row>
    <row r="20" spans="1:17" x14ac:dyDescent="0.2">
      <c r="B20" s="14"/>
      <c r="C20" s="1"/>
      <c r="D20" s="6" t="s">
        <v>25</v>
      </c>
      <c r="E20" s="6"/>
      <c r="F20" s="30"/>
      <c r="G20" s="31"/>
      <c r="H20" s="30"/>
      <c r="I20" s="30"/>
      <c r="J20" s="30"/>
      <c r="K20" s="30"/>
      <c r="L20" s="30"/>
      <c r="M20" s="31"/>
      <c r="N20" s="30"/>
      <c r="O20" s="31"/>
      <c r="P20" s="30"/>
      <c r="Q20" s="39"/>
    </row>
    <row r="21" spans="1:17" hidden="1" x14ac:dyDescent="0.2">
      <c r="B21" s="14"/>
      <c r="C21" s="1" t="s">
        <v>8</v>
      </c>
      <c r="D21" s="6" t="s">
        <v>11</v>
      </c>
      <c r="E21" s="6"/>
      <c r="F21" s="30" t="s">
        <v>2</v>
      </c>
      <c r="G21" s="31"/>
      <c r="H21" s="30"/>
      <c r="I21" s="31" t="s">
        <v>2</v>
      </c>
      <c r="J21" s="30" t="s">
        <v>2</v>
      </c>
      <c r="K21" s="31" t="s">
        <v>2</v>
      </c>
      <c r="L21" s="30" t="s">
        <v>2</v>
      </c>
      <c r="M21" s="31" t="s">
        <v>2</v>
      </c>
      <c r="N21" s="30" t="s">
        <v>12</v>
      </c>
      <c r="O21" s="31" t="s">
        <v>2</v>
      </c>
      <c r="P21" s="30" t="s">
        <v>2</v>
      </c>
      <c r="Q21" s="39"/>
    </row>
    <row r="22" spans="1:17" hidden="1" x14ac:dyDescent="0.2">
      <c r="B22" s="14"/>
      <c r="C22" s="1" t="s">
        <v>8</v>
      </c>
      <c r="D22" s="6" t="s">
        <v>13</v>
      </c>
      <c r="E22" s="6"/>
      <c r="F22" s="30" t="s">
        <v>2</v>
      </c>
      <c r="G22" s="31"/>
      <c r="H22" s="30"/>
      <c r="I22" s="31" t="s">
        <v>2</v>
      </c>
      <c r="J22" s="30" t="s">
        <v>2</v>
      </c>
      <c r="K22" s="31" t="s">
        <v>2</v>
      </c>
      <c r="L22" s="30" t="s">
        <v>2</v>
      </c>
      <c r="M22" s="31" t="s">
        <v>2</v>
      </c>
      <c r="N22" s="30" t="s">
        <v>2</v>
      </c>
      <c r="O22" s="31" t="s">
        <v>2</v>
      </c>
      <c r="P22" s="30" t="s">
        <v>2</v>
      </c>
      <c r="Q22" s="39" t="s">
        <v>2</v>
      </c>
    </row>
    <row r="23" spans="1:17" hidden="1" x14ac:dyDescent="0.2">
      <c r="B23" s="14"/>
      <c r="C23" s="1" t="s">
        <v>8</v>
      </c>
      <c r="D23" s="6" t="s">
        <v>19</v>
      </c>
      <c r="E23" s="6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40"/>
    </row>
    <row r="24" spans="1:17" hidden="1" x14ac:dyDescent="0.2">
      <c r="B24" s="14"/>
      <c r="C24" s="1" t="s">
        <v>8</v>
      </c>
      <c r="D24" s="6" t="s">
        <v>14</v>
      </c>
      <c r="E24" s="7" t="s">
        <v>2</v>
      </c>
      <c r="F24" s="30" t="s">
        <v>2</v>
      </c>
      <c r="G24" s="31"/>
      <c r="H24" s="30"/>
      <c r="I24" s="31" t="s">
        <v>2</v>
      </c>
      <c r="J24" s="30" t="s">
        <v>2</v>
      </c>
      <c r="K24" s="31" t="s">
        <v>2</v>
      </c>
      <c r="L24" s="30" t="s">
        <v>2</v>
      </c>
      <c r="M24" s="31" t="s">
        <v>2</v>
      </c>
      <c r="N24" s="30" t="s">
        <v>2</v>
      </c>
      <c r="O24" s="31" t="s">
        <v>2</v>
      </c>
      <c r="P24" s="30" t="s">
        <v>2</v>
      </c>
      <c r="Q24" s="39" t="s">
        <v>2</v>
      </c>
    </row>
    <row r="25" spans="1:17" hidden="1" x14ac:dyDescent="0.2">
      <c r="B25" s="14"/>
      <c r="C25" s="1"/>
      <c r="D25" s="7" t="s">
        <v>2</v>
      </c>
      <c r="E25" s="8"/>
      <c r="F25" s="30" t="s">
        <v>2</v>
      </c>
      <c r="G25" s="31"/>
      <c r="H25" s="30"/>
      <c r="I25" s="31" t="s">
        <v>2</v>
      </c>
      <c r="J25" s="30" t="s">
        <v>2</v>
      </c>
      <c r="K25" s="31" t="s">
        <v>2</v>
      </c>
      <c r="L25" s="30" t="s">
        <v>2</v>
      </c>
      <c r="M25" s="31" t="s">
        <v>2</v>
      </c>
      <c r="N25" s="30"/>
      <c r="O25" s="31" t="s">
        <v>2</v>
      </c>
      <c r="P25" s="30" t="s">
        <v>2</v>
      </c>
      <c r="Q25" s="39" t="s">
        <v>2</v>
      </c>
    </row>
    <row r="26" spans="1:17" x14ac:dyDescent="0.2">
      <c r="B26" s="14"/>
      <c r="C26" s="1" t="s">
        <v>8</v>
      </c>
      <c r="D26" s="6" t="s">
        <v>15</v>
      </c>
      <c r="E26" s="6"/>
      <c r="F26" s="30" t="s">
        <v>2</v>
      </c>
      <c r="G26" s="31"/>
      <c r="H26" s="30"/>
      <c r="I26" s="31" t="s">
        <v>2</v>
      </c>
      <c r="J26" s="30"/>
      <c r="K26" s="31" t="s">
        <v>2</v>
      </c>
      <c r="L26" s="30" t="s">
        <v>2</v>
      </c>
      <c r="M26" s="31" t="s">
        <v>2</v>
      </c>
      <c r="N26" s="30" t="s">
        <v>2</v>
      </c>
      <c r="O26" s="31" t="s">
        <v>2</v>
      </c>
      <c r="P26" s="30" t="s">
        <v>2</v>
      </c>
      <c r="Q26" s="39"/>
    </row>
    <row r="27" spans="1:17" x14ac:dyDescent="0.2">
      <c r="B27" s="14"/>
      <c r="C27" s="1"/>
      <c r="D27" s="6"/>
      <c r="E27" s="6"/>
      <c r="F27" s="32"/>
      <c r="G27" s="33"/>
      <c r="H27" s="32"/>
      <c r="I27" s="33"/>
      <c r="J27" s="32"/>
      <c r="K27" s="33"/>
      <c r="L27" s="32"/>
      <c r="M27" s="33"/>
      <c r="N27" s="32"/>
      <c r="O27" s="33"/>
      <c r="P27" s="32"/>
      <c r="Q27" s="41"/>
    </row>
    <row r="28" spans="1:17" x14ac:dyDescent="0.2">
      <c r="B28" s="14"/>
      <c r="C28" s="1"/>
      <c r="D28" s="98" t="str">
        <f>+CONCATENATE("TOTAL ",$D$9," - ",$B$7)</f>
        <v>TOTAL MISSION COMPTABLE - ANNEE 2021</v>
      </c>
      <c r="E28" s="10" t="s">
        <v>30</v>
      </c>
      <c r="F28" s="27">
        <f t="shared" ref="F28:Q28" si="0">SUM(F13:F26)</f>
        <v>0</v>
      </c>
      <c r="G28" s="27">
        <f t="shared" si="0"/>
        <v>0</v>
      </c>
      <c r="H28" s="27">
        <f t="shared" si="0"/>
        <v>0</v>
      </c>
      <c r="I28" s="27">
        <f t="shared" si="0"/>
        <v>0</v>
      </c>
      <c r="J28" s="27">
        <f t="shared" si="0"/>
        <v>0</v>
      </c>
      <c r="K28" s="27">
        <f t="shared" si="0"/>
        <v>0</v>
      </c>
      <c r="L28" s="27">
        <f t="shared" si="0"/>
        <v>0</v>
      </c>
      <c r="M28" s="27">
        <f t="shared" si="0"/>
        <v>0</v>
      </c>
      <c r="N28" s="27">
        <f t="shared" si="0"/>
        <v>0</v>
      </c>
      <c r="O28" s="27">
        <f t="shared" si="0"/>
        <v>0</v>
      </c>
      <c r="P28" s="27">
        <f t="shared" si="0"/>
        <v>0</v>
      </c>
      <c r="Q28" s="42">
        <f t="shared" si="0"/>
        <v>0</v>
      </c>
    </row>
    <row r="29" spans="1:17" x14ac:dyDescent="0.2">
      <c r="B29" s="43"/>
      <c r="C29" s="11"/>
      <c r="D29" s="99"/>
      <c r="E29" s="9" t="s">
        <v>31</v>
      </c>
      <c r="F29" s="34"/>
      <c r="G29" s="35"/>
      <c r="H29" s="34"/>
      <c r="I29" s="35"/>
      <c r="J29" s="34"/>
      <c r="K29" s="35"/>
      <c r="L29" s="34"/>
      <c r="M29" s="35"/>
      <c r="N29" s="34"/>
      <c r="O29" s="35"/>
      <c r="P29" s="34"/>
      <c r="Q29" s="44">
        <f>F28+G28+H28+I28+J28+K28+L28+M28+N28+O28+P28+Q28</f>
        <v>0</v>
      </c>
    </row>
    <row r="30" spans="1:17" s="20" customFormat="1" x14ac:dyDescent="0.2">
      <c r="B30" s="45"/>
      <c r="C30" s="29"/>
      <c r="D30" s="28" t="s">
        <v>37</v>
      </c>
      <c r="E30" s="28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100">
        <v>60</v>
      </c>
      <c r="Q30" s="101"/>
    </row>
    <row r="31" spans="1:17" x14ac:dyDescent="0.2">
      <c r="A31" s="21"/>
      <c r="B31" s="46"/>
      <c r="C31" s="22"/>
      <c r="D31" s="24" t="str">
        <f>+CONCATENATE("TOTAL DE LA ",$D$9," - ",$B$7)</f>
        <v>TOTAL DE LA MISSION COMPTABLE - ANNEE 2021</v>
      </c>
      <c r="E31" s="2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81">
        <f>+Q29*P30</f>
        <v>0</v>
      </c>
      <c r="Q31" s="82"/>
    </row>
    <row r="32" spans="1:17" x14ac:dyDescent="0.2">
      <c r="B32" s="18"/>
      <c r="C32" s="2"/>
      <c r="D32" s="10"/>
      <c r="E32" s="10"/>
      <c r="F32" s="2"/>
      <c r="G32" s="2"/>
      <c r="H32" s="2"/>
      <c r="I32" s="2"/>
      <c r="J32" s="2"/>
      <c r="K32" s="2"/>
      <c r="L32" s="2"/>
      <c r="M32" s="2"/>
      <c r="N32" s="2"/>
      <c r="O32" s="2"/>
      <c r="P32" s="19"/>
      <c r="Q32" s="36"/>
    </row>
    <row r="33" spans="1:17" x14ac:dyDescent="0.2">
      <c r="B33" s="91"/>
      <c r="C33" s="92"/>
      <c r="D33" s="93" t="s">
        <v>39</v>
      </c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4"/>
    </row>
    <row r="34" spans="1:17" x14ac:dyDescent="0.2">
      <c r="B34" s="14"/>
      <c r="C34" s="1"/>
      <c r="D34" s="6"/>
      <c r="E34" s="6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37"/>
    </row>
    <row r="35" spans="1:17" x14ac:dyDescent="0.2">
      <c r="B35" s="95" t="s">
        <v>21</v>
      </c>
      <c r="C35" s="96"/>
      <c r="D35" s="96"/>
      <c r="E35" s="97"/>
      <c r="F35" s="25">
        <v>1</v>
      </c>
      <c r="G35" s="26">
        <v>2</v>
      </c>
      <c r="H35" s="25">
        <v>3</v>
      </c>
      <c r="I35" s="26">
        <v>4</v>
      </c>
      <c r="J35" s="25">
        <v>5</v>
      </c>
      <c r="K35" s="26">
        <v>6</v>
      </c>
      <c r="L35" s="25">
        <v>7</v>
      </c>
      <c r="M35" s="26">
        <v>8</v>
      </c>
      <c r="N35" s="25">
        <v>9</v>
      </c>
      <c r="O35" s="26">
        <v>10</v>
      </c>
      <c r="P35" s="25">
        <v>11</v>
      </c>
      <c r="Q35" s="38">
        <v>12</v>
      </c>
    </row>
    <row r="36" spans="1:17" x14ac:dyDescent="0.2">
      <c r="B36" s="14"/>
      <c r="C36" s="1"/>
      <c r="D36" s="6"/>
      <c r="E36" s="6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9"/>
    </row>
    <row r="37" spans="1:17" x14ac:dyDescent="0.2">
      <c r="B37" s="14"/>
      <c r="C37" s="1" t="s">
        <v>8</v>
      </c>
      <c r="D37" s="6" t="s">
        <v>28</v>
      </c>
      <c r="E37" s="6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80"/>
    </row>
    <row r="38" spans="1:17" x14ac:dyDescent="0.2">
      <c r="B38" s="14"/>
      <c r="C38" s="1" t="s">
        <v>8</v>
      </c>
      <c r="D38" s="6" t="s">
        <v>47</v>
      </c>
      <c r="E38" s="6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40"/>
    </row>
    <row r="39" spans="1:17" hidden="1" x14ac:dyDescent="0.2">
      <c r="B39" s="14"/>
      <c r="C39" s="1" t="s">
        <v>8</v>
      </c>
      <c r="D39" s="6" t="s">
        <v>26</v>
      </c>
      <c r="E39" s="6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40"/>
    </row>
    <row r="40" spans="1:17" hidden="1" x14ac:dyDescent="0.2">
      <c r="B40" s="14"/>
      <c r="C40" s="1" t="s">
        <v>8</v>
      </c>
      <c r="D40" s="6" t="s">
        <v>29</v>
      </c>
      <c r="E40" s="6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40"/>
    </row>
    <row r="41" spans="1:17" hidden="1" x14ac:dyDescent="0.2">
      <c r="B41" s="14"/>
      <c r="C41" s="1" t="s">
        <v>8</v>
      </c>
      <c r="D41" s="6" t="s">
        <v>27</v>
      </c>
      <c r="E41" s="6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40"/>
    </row>
    <row r="42" spans="1:17" hidden="1" x14ac:dyDescent="0.2">
      <c r="B42" s="14"/>
      <c r="C42" s="1" t="s">
        <v>8</v>
      </c>
      <c r="D42" s="6" t="s">
        <v>14</v>
      </c>
      <c r="E42" s="6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40"/>
    </row>
    <row r="43" spans="1:17" hidden="1" x14ac:dyDescent="0.2">
      <c r="B43" s="14"/>
      <c r="C43" s="1" t="s">
        <v>8</v>
      </c>
      <c r="D43" s="6" t="s">
        <v>15</v>
      </c>
      <c r="E43" s="6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40"/>
    </row>
    <row r="44" spans="1:17" x14ac:dyDescent="0.2">
      <c r="B44" s="14"/>
      <c r="C44" s="1"/>
      <c r="D44" s="6"/>
      <c r="E44" s="6"/>
      <c r="F44" s="32"/>
      <c r="G44" s="33"/>
      <c r="H44" s="32"/>
      <c r="I44" s="33"/>
      <c r="J44" s="32"/>
      <c r="K44" s="33"/>
      <c r="L44" s="32"/>
      <c r="M44" s="33"/>
      <c r="N44" s="32"/>
      <c r="O44" s="33"/>
      <c r="P44" s="32"/>
      <c r="Q44" s="41"/>
    </row>
    <row r="45" spans="1:17" x14ac:dyDescent="0.2">
      <c r="B45" s="14"/>
      <c r="C45" s="1"/>
      <c r="D45" s="98" t="str">
        <f>+CONCATENATE("TOTAL ",$D$33," - ",$B$7)</f>
        <v>TOTAL MISSION FISCALE - ANNEE 2021</v>
      </c>
      <c r="E45" s="10" t="s">
        <v>30</v>
      </c>
      <c r="F45" s="27">
        <f t="shared" ref="F45:Q45" si="1">SUM(F37:F43)</f>
        <v>0</v>
      </c>
      <c r="G45" s="27">
        <f t="shared" si="1"/>
        <v>0</v>
      </c>
      <c r="H45" s="27">
        <f t="shared" si="1"/>
        <v>0</v>
      </c>
      <c r="I45" s="27">
        <f t="shared" si="1"/>
        <v>0</v>
      </c>
      <c r="J45" s="27">
        <f t="shared" si="1"/>
        <v>0</v>
      </c>
      <c r="K45" s="27">
        <f t="shared" si="1"/>
        <v>0</v>
      </c>
      <c r="L45" s="27">
        <f t="shared" si="1"/>
        <v>0</v>
      </c>
      <c r="M45" s="27">
        <f t="shared" si="1"/>
        <v>0</v>
      </c>
      <c r="N45" s="27">
        <f t="shared" si="1"/>
        <v>0</v>
      </c>
      <c r="O45" s="27">
        <f t="shared" si="1"/>
        <v>0</v>
      </c>
      <c r="P45" s="27">
        <f t="shared" si="1"/>
        <v>0</v>
      </c>
      <c r="Q45" s="42">
        <f t="shared" si="1"/>
        <v>0</v>
      </c>
    </row>
    <row r="46" spans="1:17" x14ac:dyDescent="0.2">
      <c r="B46" s="43"/>
      <c r="C46" s="11"/>
      <c r="D46" s="99" t="str">
        <f>+CONCATENATE("TOTAL - ",$B$7)</f>
        <v>TOTAL - ANNEE 2021</v>
      </c>
      <c r="E46" s="9" t="s">
        <v>31</v>
      </c>
      <c r="F46" s="34"/>
      <c r="G46" s="35"/>
      <c r="H46" s="34"/>
      <c r="I46" s="35"/>
      <c r="J46" s="34"/>
      <c r="K46" s="35"/>
      <c r="L46" s="34"/>
      <c r="M46" s="35"/>
      <c r="N46" s="34"/>
      <c r="O46" s="35"/>
      <c r="P46" s="34"/>
      <c r="Q46" s="44">
        <f>F45+G45+H45+I45+J45+K45+L45+M45+N45+O45+P45+Q45</f>
        <v>0</v>
      </c>
    </row>
    <row r="47" spans="1:17" s="20" customFormat="1" x14ac:dyDescent="0.2">
      <c r="B47" s="45"/>
      <c r="C47" s="29"/>
      <c r="D47" s="28" t="s">
        <v>37</v>
      </c>
      <c r="E47" s="28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100">
        <v>60</v>
      </c>
      <c r="Q47" s="101"/>
    </row>
    <row r="48" spans="1:17" x14ac:dyDescent="0.2">
      <c r="A48" s="21"/>
      <c r="B48" s="46"/>
      <c r="C48" s="22"/>
      <c r="D48" s="24" t="str">
        <f>+CONCATENATE("TOTAL DE LA ",$D$33," - ",$B$7)</f>
        <v>TOTAL DE LA MISSION FISCALE - ANNEE 2021</v>
      </c>
      <c r="E48" s="24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81">
        <f>+Q46*P47</f>
        <v>0</v>
      </c>
      <c r="Q48" s="82"/>
    </row>
    <row r="49" spans="1:17" x14ac:dyDescent="0.2">
      <c r="B49" s="18"/>
      <c r="C49" s="2"/>
      <c r="D49" s="10"/>
      <c r="E49" s="10"/>
      <c r="F49" s="2"/>
      <c r="G49" s="2"/>
      <c r="H49" s="2"/>
      <c r="I49" s="2"/>
      <c r="J49" s="2"/>
      <c r="K49" s="2"/>
      <c r="L49" s="2"/>
      <c r="M49" s="2"/>
      <c r="N49" s="2"/>
      <c r="O49" s="2"/>
      <c r="P49" s="19"/>
      <c r="Q49" s="36"/>
    </row>
    <row r="50" spans="1:17" x14ac:dyDescent="0.2">
      <c r="B50" s="91"/>
      <c r="C50" s="92"/>
      <c r="D50" s="93" t="s">
        <v>40</v>
      </c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4"/>
    </row>
    <row r="51" spans="1:17" x14ac:dyDescent="0.2">
      <c r="B51" s="14"/>
      <c r="C51" s="1"/>
      <c r="D51" s="6"/>
      <c r="E51" s="6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37"/>
    </row>
    <row r="52" spans="1:17" x14ac:dyDescent="0.2">
      <c r="B52" s="95" t="s">
        <v>21</v>
      </c>
      <c r="C52" s="96"/>
      <c r="D52" s="96"/>
      <c r="E52" s="97"/>
      <c r="F52" s="25">
        <v>1</v>
      </c>
      <c r="G52" s="26">
        <v>2</v>
      </c>
      <c r="H52" s="25">
        <v>3</v>
      </c>
      <c r="I52" s="26">
        <v>4</v>
      </c>
      <c r="J52" s="25">
        <v>5</v>
      </c>
      <c r="K52" s="26">
        <v>6</v>
      </c>
      <c r="L52" s="25">
        <v>7</v>
      </c>
      <c r="M52" s="26">
        <v>8</v>
      </c>
      <c r="N52" s="25">
        <v>9</v>
      </c>
      <c r="O52" s="26">
        <v>10</v>
      </c>
      <c r="P52" s="25">
        <v>11</v>
      </c>
      <c r="Q52" s="38">
        <v>12</v>
      </c>
    </row>
    <row r="53" spans="1:17" x14ac:dyDescent="0.2">
      <c r="B53" s="14"/>
      <c r="C53" s="1"/>
      <c r="D53" s="6"/>
      <c r="E53" s="6"/>
      <c r="F53" s="30"/>
      <c r="G53" s="31"/>
      <c r="H53" s="30"/>
      <c r="I53" s="31"/>
      <c r="J53" s="30"/>
      <c r="K53" s="31"/>
      <c r="L53" s="30"/>
      <c r="M53" s="31"/>
      <c r="N53" s="30"/>
      <c r="O53" s="31"/>
      <c r="P53" s="30"/>
      <c r="Q53" s="39"/>
    </row>
    <row r="54" spans="1:17" x14ac:dyDescent="0.2">
      <c r="B54" s="14"/>
      <c r="C54" s="1" t="s">
        <v>8</v>
      </c>
      <c r="D54" s="6" t="s">
        <v>32</v>
      </c>
      <c r="E54" s="6"/>
      <c r="F54" s="85" t="s">
        <v>45</v>
      </c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7"/>
    </row>
    <row r="55" spans="1:17" x14ac:dyDescent="0.2">
      <c r="B55" s="14"/>
      <c r="C55" s="1" t="s">
        <v>8</v>
      </c>
      <c r="D55" s="6" t="s">
        <v>34</v>
      </c>
      <c r="E55" s="6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40"/>
    </row>
    <row r="56" spans="1:17" x14ac:dyDescent="0.2">
      <c r="B56" s="14"/>
      <c r="C56" s="1" t="s">
        <v>8</v>
      </c>
      <c r="D56" s="6" t="s">
        <v>35</v>
      </c>
      <c r="E56" s="6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40"/>
    </row>
    <row r="57" spans="1:17" x14ac:dyDescent="0.2">
      <c r="B57" s="14"/>
      <c r="C57" s="1" t="s">
        <v>8</v>
      </c>
      <c r="D57" s="6" t="s">
        <v>33</v>
      </c>
      <c r="E57" s="6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40"/>
    </row>
    <row r="58" spans="1:17" x14ac:dyDescent="0.2">
      <c r="B58" s="14"/>
      <c r="C58" s="1"/>
      <c r="D58" s="6"/>
      <c r="E58" s="6"/>
      <c r="F58" s="32"/>
      <c r="G58" s="33"/>
      <c r="H58" s="32"/>
      <c r="I58" s="33"/>
      <c r="J58" s="32"/>
      <c r="K58" s="33"/>
      <c r="L58" s="32"/>
      <c r="M58" s="33"/>
      <c r="N58" s="32"/>
      <c r="O58" s="33"/>
      <c r="P58" s="32"/>
      <c r="Q58" s="41"/>
    </row>
    <row r="59" spans="1:17" x14ac:dyDescent="0.2">
      <c r="B59" s="14"/>
      <c r="C59" s="1"/>
      <c r="D59" s="106" t="str">
        <f>+CONCATENATE("TOTAL ",$D$50," - ",$B$7)</f>
        <v>TOTAL MISSION SOCIALE - ANNEE 2021</v>
      </c>
      <c r="E59" s="10" t="s">
        <v>30</v>
      </c>
      <c r="F59" s="27">
        <f t="shared" ref="F59:Q59" si="2">SUM(F54:F57)</f>
        <v>0</v>
      </c>
      <c r="G59" s="27">
        <f t="shared" si="2"/>
        <v>0</v>
      </c>
      <c r="H59" s="27">
        <f t="shared" si="2"/>
        <v>0</v>
      </c>
      <c r="I59" s="27">
        <f t="shared" si="2"/>
        <v>0</v>
      </c>
      <c r="J59" s="27">
        <f t="shared" si="2"/>
        <v>0</v>
      </c>
      <c r="K59" s="27">
        <f t="shared" si="2"/>
        <v>0</v>
      </c>
      <c r="L59" s="27">
        <f t="shared" si="2"/>
        <v>0</v>
      </c>
      <c r="M59" s="27">
        <f t="shared" si="2"/>
        <v>0</v>
      </c>
      <c r="N59" s="27">
        <f t="shared" si="2"/>
        <v>0</v>
      </c>
      <c r="O59" s="27">
        <f t="shared" si="2"/>
        <v>0</v>
      </c>
      <c r="P59" s="27">
        <f t="shared" si="2"/>
        <v>0</v>
      </c>
      <c r="Q59" s="42">
        <f t="shared" si="2"/>
        <v>0</v>
      </c>
    </row>
    <row r="60" spans="1:17" x14ac:dyDescent="0.2">
      <c r="B60" s="43"/>
      <c r="C60" s="11"/>
      <c r="D60" s="107" t="str">
        <f>+CONCATENATE("TOTAL - ",$B$7)</f>
        <v>TOTAL - ANNEE 2021</v>
      </c>
      <c r="E60" s="9" t="s">
        <v>31</v>
      </c>
      <c r="F60" s="34"/>
      <c r="G60" s="35"/>
      <c r="H60" s="34"/>
      <c r="I60" s="35"/>
      <c r="J60" s="34"/>
      <c r="K60" s="35"/>
      <c r="L60" s="34"/>
      <c r="M60" s="35"/>
      <c r="N60" s="34"/>
      <c r="O60" s="35"/>
      <c r="P60" s="34"/>
      <c r="Q60" s="44">
        <f>F59+G59+H59+I59+J59+K59+L59+M59+N59+O59+P59+Q59</f>
        <v>0</v>
      </c>
    </row>
    <row r="61" spans="1:17" s="20" customFormat="1" x14ac:dyDescent="0.2">
      <c r="B61" s="45"/>
      <c r="C61" s="29"/>
      <c r="D61" s="28" t="s">
        <v>36</v>
      </c>
      <c r="E61" s="28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100">
        <v>30</v>
      </c>
      <c r="Q61" s="101"/>
    </row>
    <row r="62" spans="1:17" x14ac:dyDescent="0.2">
      <c r="A62" s="21"/>
      <c r="B62" s="46"/>
      <c r="C62" s="22"/>
      <c r="D62" s="24" t="str">
        <f>+CONCATENATE("TOTAL DE LA MISSION ",$D$50," - ",$B$7)</f>
        <v>TOTAL DE LA MISSION MISSION SOCIALE - ANNEE 2021</v>
      </c>
      <c r="E62" s="23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81">
        <f>+Q60*P61</f>
        <v>0</v>
      </c>
      <c r="Q62" s="82"/>
    </row>
    <row r="63" spans="1:17" x14ac:dyDescent="0.2">
      <c r="B63" s="14"/>
      <c r="C63" s="1"/>
      <c r="D63" s="6"/>
      <c r="E63" s="6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37"/>
    </row>
    <row r="64" spans="1:17" x14ac:dyDescent="0.2">
      <c r="B64" s="91"/>
      <c r="C64" s="92"/>
      <c r="D64" s="93" t="s">
        <v>42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4"/>
    </row>
    <row r="65" spans="1:17" x14ac:dyDescent="0.2">
      <c r="B65" s="14"/>
      <c r="C65" s="1"/>
      <c r="D65" s="6"/>
      <c r="E65" s="6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37"/>
    </row>
    <row r="66" spans="1:17" x14ac:dyDescent="0.2">
      <c r="B66" s="95" t="s">
        <v>21</v>
      </c>
      <c r="C66" s="96"/>
      <c r="D66" s="96"/>
      <c r="E66" s="97"/>
      <c r="F66" s="25">
        <v>1</v>
      </c>
      <c r="G66" s="26">
        <v>2</v>
      </c>
      <c r="H66" s="25">
        <v>3</v>
      </c>
      <c r="I66" s="26">
        <v>4</v>
      </c>
      <c r="J66" s="25">
        <v>5</v>
      </c>
      <c r="K66" s="26">
        <v>6</v>
      </c>
      <c r="L66" s="25">
        <v>7</v>
      </c>
      <c r="M66" s="26">
        <v>8</v>
      </c>
      <c r="N66" s="25">
        <v>9</v>
      </c>
      <c r="O66" s="26">
        <v>10</v>
      </c>
      <c r="P66" s="25">
        <v>11</v>
      </c>
      <c r="Q66" s="38">
        <v>12</v>
      </c>
    </row>
    <row r="67" spans="1:17" x14ac:dyDescent="0.2">
      <c r="B67" s="14"/>
      <c r="C67" s="1"/>
      <c r="D67" s="6"/>
      <c r="E67" s="6"/>
      <c r="F67" s="30"/>
      <c r="G67" s="31"/>
      <c r="H67" s="30"/>
      <c r="I67" s="31"/>
      <c r="J67" s="30"/>
      <c r="K67" s="31"/>
      <c r="L67" s="30"/>
      <c r="M67" s="31"/>
      <c r="N67" s="30"/>
      <c r="O67" s="31"/>
      <c r="P67" s="30"/>
      <c r="Q67" s="39"/>
    </row>
    <row r="68" spans="1:17" x14ac:dyDescent="0.2">
      <c r="B68" s="14"/>
      <c r="C68" s="1" t="s">
        <v>8</v>
      </c>
      <c r="D68" s="6"/>
      <c r="E68" s="6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40"/>
    </row>
    <row r="69" spans="1:17" x14ac:dyDescent="0.2">
      <c r="B69" s="14"/>
      <c r="C69" s="1" t="s">
        <v>8</v>
      </c>
      <c r="D69" s="6"/>
      <c r="E69" s="6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40"/>
    </row>
    <row r="70" spans="1:17" x14ac:dyDescent="0.2">
      <c r="B70" s="14"/>
      <c r="C70" s="1" t="s">
        <v>8</v>
      </c>
      <c r="D70" s="6"/>
      <c r="E70" s="6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40"/>
    </row>
    <row r="71" spans="1:17" x14ac:dyDescent="0.2">
      <c r="B71" s="14"/>
      <c r="C71" s="1"/>
      <c r="D71" s="6"/>
      <c r="E71" s="6"/>
      <c r="F71" s="32"/>
      <c r="G71" s="33"/>
      <c r="H71" s="32"/>
      <c r="I71" s="33"/>
      <c r="J71" s="32"/>
      <c r="K71" s="33"/>
      <c r="L71" s="32"/>
      <c r="M71" s="33"/>
      <c r="N71" s="32"/>
      <c r="O71" s="33"/>
      <c r="P71" s="32"/>
      <c r="Q71" s="41"/>
    </row>
    <row r="72" spans="1:17" x14ac:dyDescent="0.2">
      <c r="B72" s="14"/>
      <c r="C72" s="1"/>
      <c r="D72" s="98" t="str">
        <f>+CONCATENATE("TOTAL ",$D$64," - ",$B$7)</f>
        <v>TOTAL MISSION EXCEPTIONNELLE - ANNEE 2021</v>
      </c>
      <c r="E72" s="10" t="s">
        <v>30</v>
      </c>
      <c r="F72" s="27">
        <f t="shared" ref="F72:Q72" si="3">SUM(F68:F70)</f>
        <v>0</v>
      </c>
      <c r="G72" s="27">
        <f t="shared" si="3"/>
        <v>0</v>
      </c>
      <c r="H72" s="27">
        <f t="shared" si="3"/>
        <v>0</v>
      </c>
      <c r="I72" s="27">
        <f t="shared" si="3"/>
        <v>0</v>
      </c>
      <c r="J72" s="27">
        <f t="shared" si="3"/>
        <v>0</v>
      </c>
      <c r="K72" s="27">
        <f t="shared" si="3"/>
        <v>0</v>
      </c>
      <c r="L72" s="27">
        <f t="shared" si="3"/>
        <v>0</v>
      </c>
      <c r="M72" s="27">
        <f t="shared" si="3"/>
        <v>0</v>
      </c>
      <c r="N72" s="27">
        <f t="shared" si="3"/>
        <v>0</v>
      </c>
      <c r="O72" s="27">
        <f t="shared" si="3"/>
        <v>0</v>
      </c>
      <c r="P72" s="27">
        <f t="shared" si="3"/>
        <v>0</v>
      </c>
      <c r="Q72" s="42">
        <f t="shared" si="3"/>
        <v>0</v>
      </c>
    </row>
    <row r="73" spans="1:17" x14ac:dyDescent="0.2">
      <c r="B73" s="43"/>
      <c r="C73" s="11"/>
      <c r="D73" s="99" t="str">
        <f>+CONCATENATE("TOTAL - ",$B$7)</f>
        <v>TOTAL - ANNEE 2021</v>
      </c>
      <c r="E73" s="9" t="s">
        <v>31</v>
      </c>
      <c r="F73" s="34"/>
      <c r="G73" s="35"/>
      <c r="H73" s="34"/>
      <c r="I73" s="35"/>
      <c r="J73" s="34"/>
      <c r="K73" s="35"/>
      <c r="L73" s="34"/>
      <c r="M73" s="35"/>
      <c r="N73" s="34"/>
      <c r="O73" s="35"/>
      <c r="P73" s="34"/>
      <c r="Q73" s="44">
        <f>F72+G72+H72+I72+J72+K72+L72+M72+N72+O72+P72+Q72</f>
        <v>0</v>
      </c>
    </row>
    <row r="74" spans="1:17" s="20" customFormat="1" ht="12.95" customHeight="1" x14ac:dyDescent="0.2">
      <c r="B74" s="45"/>
      <c r="C74" s="29"/>
      <c r="D74" s="28" t="s">
        <v>37</v>
      </c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100">
        <v>90</v>
      </c>
      <c r="Q74" s="101"/>
    </row>
    <row r="75" spans="1:17" x14ac:dyDescent="0.2">
      <c r="A75" s="21"/>
      <c r="B75" s="46"/>
      <c r="C75" s="22"/>
      <c r="D75" s="24" t="str">
        <f>+CONCATENATE("TOTAL DE LA ",$D$64," - ",$B$7)</f>
        <v>TOTAL DE LA MISSION EXCEPTIONNELLE - ANNEE 2021</v>
      </c>
      <c r="E75" s="24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81">
        <f>+Q73*P74</f>
        <v>0</v>
      </c>
      <c r="Q75" s="82"/>
    </row>
    <row r="76" spans="1:17" ht="13.5" thickBot="1" x14ac:dyDescent="0.25">
      <c r="B76" s="18"/>
      <c r="C76" s="2"/>
      <c r="D76" s="10"/>
      <c r="E76" s="10"/>
      <c r="F76" s="2"/>
      <c r="G76" s="2"/>
      <c r="H76" s="2"/>
      <c r="I76" s="2"/>
      <c r="J76" s="2"/>
      <c r="K76" s="2"/>
      <c r="L76" s="2"/>
      <c r="M76" s="2"/>
      <c r="N76" s="2"/>
      <c r="O76" s="2"/>
      <c r="P76" s="19"/>
      <c r="Q76" s="36"/>
    </row>
    <row r="77" spans="1:17" ht="13.5" hidden="1" thickBot="1" x14ac:dyDescent="0.25">
      <c r="B77" s="18"/>
      <c r="C77" s="2"/>
      <c r="D77" s="10"/>
      <c r="E77" s="10"/>
      <c r="F77" s="2"/>
      <c r="G77" s="2"/>
      <c r="H77" s="2"/>
      <c r="I77" s="2"/>
      <c r="J77" s="2"/>
      <c r="K77" s="2"/>
      <c r="L77" s="2"/>
      <c r="M77" s="2"/>
      <c r="N77" s="2"/>
      <c r="O77" s="2"/>
      <c r="P77" s="19"/>
      <c r="Q77" s="36"/>
    </row>
    <row r="78" spans="1:17" ht="15" thickBot="1" x14ac:dyDescent="0.35">
      <c r="B78" s="88" t="s">
        <v>17</v>
      </c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90"/>
    </row>
    <row r="79" spans="1:17" x14ac:dyDescent="0.2">
      <c r="B79" s="14"/>
      <c r="C79" s="59"/>
      <c r="D79" s="60" t="str">
        <f>+D31</f>
        <v>TOTAL DE LA MISSION COMPTABLE - ANNEE 2021</v>
      </c>
      <c r="E79" s="60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2"/>
      <c r="Q79" s="63">
        <f>+P31</f>
        <v>0</v>
      </c>
    </row>
    <row r="80" spans="1:17" x14ac:dyDescent="0.2">
      <c r="B80" s="64"/>
      <c r="C80" s="65"/>
      <c r="D80" s="66" t="str">
        <f>+D48</f>
        <v>TOTAL DE LA MISSION FISCALE - ANNEE 2021</v>
      </c>
      <c r="E80" s="66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8"/>
      <c r="Q80" s="69">
        <f>+P48</f>
        <v>0</v>
      </c>
    </row>
    <row r="81" spans="1:17" x14ac:dyDescent="0.2">
      <c r="B81" s="64"/>
      <c r="C81" s="65"/>
      <c r="D81" s="66" t="str">
        <f>+D62</f>
        <v>TOTAL DE LA MISSION MISSION SOCIALE - ANNEE 2021</v>
      </c>
      <c r="E81" s="66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8"/>
      <c r="Q81" s="69">
        <f>+P62</f>
        <v>0</v>
      </c>
    </row>
    <row r="82" spans="1:17" ht="13.5" thickBot="1" x14ac:dyDescent="0.25">
      <c r="B82" s="70"/>
      <c r="C82" s="71"/>
      <c r="D82" s="72" t="str">
        <f>+D75</f>
        <v>TOTAL DE LA MISSION EXCEPTIONNELLE - ANNEE 2021</v>
      </c>
      <c r="E82" s="72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4"/>
      <c r="Q82" s="75">
        <f>+P75</f>
        <v>0</v>
      </c>
    </row>
    <row r="83" spans="1:17" x14ac:dyDescent="0.2">
      <c r="A83" s="21"/>
      <c r="B83" s="46"/>
      <c r="C83" s="22"/>
      <c r="D83" s="76" t="s">
        <v>44</v>
      </c>
      <c r="E83" s="76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81">
        <f>+SUM(Q79:Q82)</f>
        <v>0</v>
      </c>
      <c r="Q83" s="82"/>
    </row>
    <row r="84" spans="1:17" s="20" customFormat="1" ht="12.95" customHeight="1" thickBot="1" x14ac:dyDescent="0.25">
      <c r="B84" s="77"/>
      <c r="C84" s="78"/>
      <c r="D84" s="79" t="s">
        <v>46</v>
      </c>
      <c r="E84" s="79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83">
        <f>P83/12</f>
        <v>0</v>
      </c>
      <c r="Q84" s="84">
        <f>+P83/12</f>
        <v>0</v>
      </c>
    </row>
  </sheetData>
  <mergeCells count="35">
    <mergeCell ref="F2:M3"/>
    <mergeCell ref="F4:I4"/>
    <mergeCell ref="B2:E2"/>
    <mergeCell ref="B4:E4"/>
    <mergeCell ref="J4:M4"/>
    <mergeCell ref="O5:P5"/>
    <mergeCell ref="P61:Q61"/>
    <mergeCell ref="P62:Q62"/>
    <mergeCell ref="B33:C33"/>
    <mergeCell ref="D33:Q33"/>
    <mergeCell ref="B9:C9"/>
    <mergeCell ref="D9:Q9"/>
    <mergeCell ref="B11:E11"/>
    <mergeCell ref="B7:Q7"/>
    <mergeCell ref="B52:E52"/>
    <mergeCell ref="D59:D60"/>
    <mergeCell ref="P47:Q47"/>
    <mergeCell ref="P48:Q48"/>
    <mergeCell ref="P30:Q30"/>
    <mergeCell ref="P31:Q31"/>
    <mergeCell ref="B35:E35"/>
    <mergeCell ref="D28:D29"/>
    <mergeCell ref="D45:D46"/>
    <mergeCell ref="B50:C50"/>
    <mergeCell ref="D50:Q50"/>
    <mergeCell ref="P74:Q74"/>
    <mergeCell ref="P75:Q75"/>
    <mergeCell ref="P83:Q83"/>
    <mergeCell ref="P84:Q84"/>
    <mergeCell ref="F54:Q54"/>
    <mergeCell ref="B78:Q78"/>
    <mergeCell ref="B64:C64"/>
    <mergeCell ref="D64:Q64"/>
    <mergeCell ref="B66:E66"/>
    <mergeCell ref="D72:D73"/>
  </mergeCells>
  <phoneticPr fontId="2" type="noConversion"/>
  <pageMargins left="0.78740157499999996" right="0.78740157499999996" top="0.984251969" bottom="0.984251969" header="0.4921259845" footer="0.4921259845"/>
  <pageSetup paperSize="9" scale="61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Budget Temps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sayache</dc:creator>
  <cp:lastModifiedBy>Maryline VANDENABEELE</cp:lastModifiedBy>
  <cp:lastPrinted>2024-12-11T11:13:02Z</cp:lastPrinted>
  <dcterms:created xsi:type="dcterms:W3CDTF">2008-12-30T08:58:35Z</dcterms:created>
  <dcterms:modified xsi:type="dcterms:W3CDTF">2024-12-11T11:25:14Z</dcterms:modified>
</cp:coreProperties>
</file>